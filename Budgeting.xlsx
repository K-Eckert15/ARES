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ES" sheetId="1" state="visible" r:id="rId3"/>
    <sheet name="PHOBOS" sheetId="2" state="visible" r:id="rId4"/>
    <sheet name="DEIMOS" sheetId="3" state="visible" r:id="rId5"/>
    <sheet name="GND Station" sheetId="4" state="visible" r:id="rId6"/>
    <sheet name="MISC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<sst xmlns="http://schemas.openxmlformats.org/spreadsheetml/2006/main" count="39" uniqueCount="22">
  <si>
    <t xml:space="preserve">ARES – L2</t>
  </si>
  <si>
    <t xml:space="preserve">ARES – L3</t>
  </si>
  <si>
    <t xml:space="preserve">Part</t>
  </si>
  <si>
    <t xml:space="preserve">Link</t>
  </si>
  <si>
    <t xml:space="preserve">QTY</t>
  </si>
  <si>
    <t xml:space="preserve">Price</t>
  </si>
  <si>
    <t xml:space="preserve">Subtotal</t>
  </si>
  <si>
    <t xml:space="preserve">AeroTech L2200G-PS RMS-75/5120 Reload Kit (1 Pack) – 12220P</t>
  </si>
  <si>
    <t xml:space="preserve">https://aerotech-rocketry.com/products/product_96c84178-7470-3797-6f21-a32b59d4b4bf</t>
  </si>
  <si>
    <t xml:space="preserve">Aerotech High-Power M1350W-P 75mm DMS HAZMAT</t>
  </si>
  <si>
    <t xml:space="preserve">https://aerotech-rocketry.com/products/product_a42ad3c8-186f-07ae-7be9-14118783892f</t>
  </si>
  <si>
    <t xml:space="preserve">G12-6.0 60"</t>
  </si>
  <si>
    <t xml:space="preserve">https://wildmanrocketry.com/products/g12-6-0</t>
  </si>
  <si>
    <t xml:space="preserve">84" Fruity Chutes: Iris Ultra Parachute</t>
  </si>
  <si>
    <t xml:space="preserve">https://shop.fruitychutes.com/products/iris-ultra-84-standard-parachute-39lbs-20fps</t>
  </si>
  <si>
    <t xml:space="preserve">Rail Buttons</t>
  </si>
  <si>
    <t xml:space="preserve">https://www.apogeerockets.com/Building_Supplies/Launch_Lugs_Rail_Buttons/Rail_Buttons/1-5_Rail_Button_Large</t>
  </si>
  <si>
    <t xml:space="preserve">Polymaker™ PETG </t>
  </si>
  <si>
    <t xml:space="preserve">https://us-wholesale.polymaker.com/products/polymaker-petg?variant=40933875286118</t>
  </si>
  <si>
    <t xml:space="preserve">Kevlar Cord, 500-1500lb</t>
  </si>
  <si>
    <t xml:space="preserve">Fiberglass Sheets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</si>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</sst>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9">
    <font>
      <sz val="1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2"/>
    </font>
    <font>
      <b val="true"/>
      <sz val="16"/>
      <name val="Calibri"/>
      <family val="2"/>
    </font>
    <font>
      <b val="true"/>
      <sz val="10"/>
      <name val="Calibri"/>
      <family val="1"/>
    </font>
    <font>
      <sz val="10"/>
      <name val="Calibri"/>
      <family val="1"/>
    </font>
    <font>
      <sz val="10"/>
      <color rgb="FF0000FF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erotech-rocketry.com/products/product_96c84178-7470-3797-6f21-a32b59d4b4bf" TargetMode="External"/><Relationship Id="rId2" Type="http://schemas.openxmlformats.org/officeDocument/2006/relationships/hyperlink" Target="https://aerotech-rocketry.com/products/product_a42ad3c8-186f-07ae-7be9-14118783892f" TargetMode="External"/><Relationship Id="rId3" Type="http://schemas.openxmlformats.org/officeDocument/2006/relationships/hyperlink" Target="https://wildmanrocketry.com/products/g12-6-0" TargetMode="External"/><Relationship Id="rId4" Type="http://schemas.openxmlformats.org/officeDocument/2006/relationships/hyperlink" Target="https://wildmanrocketry.com/products/g12-6-0" TargetMode="External"/><Relationship Id="rId5" Type="http://schemas.openxmlformats.org/officeDocument/2006/relationships/hyperlink" Target="https://shop.fruitychutes.com/products/iris-ultra-84-standard-parachute-39lbs-20fps" TargetMode="External"/><Relationship Id="rId6" Type="http://schemas.openxmlformats.org/officeDocument/2006/relationships/hyperlink" Target="https://shop.fruitychutes.com/products/iris-ultra-84-standard-parachute-39lbs-20fps" TargetMode="External"/><Relationship Id="rId7" Type="http://schemas.openxmlformats.org/officeDocument/2006/relationships/hyperlink" Target="https://www.apogeerockets.com/Building_Supplies/Launch_Lugs_Rail_Buttons/Rail_Buttons/1-5_Rail_Button_Large" TargetMode="External"/><Relationship Id="rId8" Type="http://schemas.openxmlformats.org/officeDocument/2006/relationships/hyperlink" Target="https://www.apogeerockets.com/Building_Supplies/Launch_Lugs_Rail_Buttons/Rail_Buttons/1-5_Rail_Button_Large" TargetMode="External"/><Relationship Id="rId9" Type="http://schemas.openxmlformats.org/officeDocument/2006/relationships/hyperlink" Target="https://us-wholesale.polymaker.com/products/polymaker-petg?variant=40933875286118" TargetMode="External"/><Relationship Id="rId10" Type="http://schemas.openxmlformats.org/officeDocument/2006/relationships/hyperlink" Target="https://www.amazon.com/9KM-DWLIFE-Resistant-Ultralight-Activities/dp/B084ZYGTYP?th=1" TargetMode="External"/><Relationship Id="rId11" Type="http://schemas.openxmlformats.org/officeDocument/2006/relationships/hyperlink" Target="https://www.amazon.com/9KM-DWLIFE-Resistant-Ultralight-Activities/dp/B084ZYGTYP?th=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0" activeCellId="0" sqref="L10"/>
    </sheetView>
  </sheetViews>
  <sheetFormatPr defaultColWidth="12.67578125" defaultRowHeight="12.8" customHeight="false" zeroHeight="false" outlineLevelRow="0" outlineLevelCol="0"/>
  <cols>
    <col collapsed="false" customWidth="true" hidden="false" outlineLevel="0" max="1" min="1" style="0" width="20.2"/>
    <col collapsed="false" customWidth="true" hidden="false" outlineLevel="0" max="8" min="8" style="0" width="21.68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H1" s="2" t="s">
        <v>1</v>
      </c>
      <c r="I1" s="2"/>
      <c r="J1" s="2"/>
      <c r="K1" s="2"/>
      <c r="L1" s="2"/>
    </row>
    <row r="2" customFormat="false" ht="12.8" hidden="false" customHeight="false" outlineLevel="0" collapsed="false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H2" s="3" t="s">
        <v>2</v>
      </c>
      <c r="I2" s="3" t="s">
        <v>3</v>
      </c>
      <c r="J2" s="3" t="s">
        <v>4</v>
      </c>
      <c r="K2" s="3" t="s">
        <v>5</v>
      </c>
      <c r="L2" s="3" t="s">
        <v>6</v>
      </c>
    </row>
    <row r="3" customFormat="false" ht="30.55" hidden="false" customHeight="false" outlineLevel="0" collapsed="false">
      <c r="A3" s="4" t="s">
        <v>7</v>
      </c>
      <c r="B3" s="5" t="s">
        <v>8</v>
      </c>
      <c r="C3" s="4" t="n">
        <v>1</v>
      </c>
      <c r="D3" s="6" t="n">
        <v>422.99</v>
      </c>
      <c r="E3" s="6" t="n">
        <v>422.99</v>
      </c>
      <c r="H3" s="4" t="s">
        <v>9</v>
      </c>
      <c r="I3" s="5" t="s">
        <v>10</v>
      </c>
      <c r="J3" s="4" t="n">
        <v>1</v>
      </c>
      <c r="K3" s="6" t="n">
        <v>678.59</v>
      </c>
      <c r="L3" s="6" t="n">
        <v>678.59</v>
      </c>
    </row>
    <row r="4" customFormat="false" ht="12.8" hidden="false" customHeight="false" outlineLevel="0" collapsed="false">
      <c r="A4" s="4" t="s">
        <v>11</v>
      </c>
      <c r="B4" s="5" t="s">
        <v>12</v>
      </c>
      <c r="C4" s="4" t="n">
        <v>2</v>
      </c>
      <c r="D4" s="4" t="n">
        <v>279.81</v>
      </c>
      <c r="E4" s="6" t="n">
        <v>559.62</v>
      </c>
      <c r="H4" s="4" t="s">
        <v>11</v>
      </c>
      <c r="I4" s="5" t="s">
        <v>12</v>
      </c>
      <c r="J4" s="4" t="n">
        <v>2</v>
      </c>
      <c r="K4" s="6" t="n">
        <v>279.81</v>
      </c>
      <c r="L4" s="6" t="n">
        <v>559.62</v>
      </c>
    </row>
    <row r="5" customFormat="false" ht="20.85" hidden="false" customHeight="false" outlineLevel="0" collapsed="false">
      <c r="A5" s="4" t="s">
        <v>13</v>
      </c>
      <c r="B5" s="5" t="s">
        <v>14</v>
      </c>
      <c r="C5" s="4" t="n">
        <v>1</v>
      </c>
      <c r="D5" s="4" t="n">
        <v>403.71</v>
      </c>
      <c r="E5" s="6" t="n">
        <v>403.71</v>
      </c>
      <c r="H5" s="4" t="s">
        <v>13</v>
      </c>
      <c r="I5" s="5" t="s">
        <v>14</v>
      </c>
      <c r="J5" s="4" t="n">
        <v>1</v>
      </c>
      <c r="K5" s="4" t="n">
        <v>403.71</v>
      </c>
      <c r="L5" s="6" t="n">
        <v>403.71</v>
      </c>
    </row>
    <row r="6" customFormat="false" ht="12.8" hidden="false" customHeight="false" outlineLevel="0" collapsed="false">
      <c r="A6" s="4" t="s">
        <v>15</v>
      </c>
      <c r="B6" s="5" t="s">
        <v>16</v>
      </c>
      <c r="C6" s="7" t="n">
        <v>1</v>
      </c>
      <c r="D6" s="8" t="n">
        <v>7.49</v>
      </c>
      <c r="E6" s="6" t="n">
        <f aca="false">D6*C6</f>
        <v>7.49</v>
      </c>
      <c r="H6" s="4" t="s">
        <v>15</v>
      </c>
      <c r="I6" s="5" t="s">
        <v>16</v>
      </c>
      <c r="J6" s="7" t="n">
        <v>1</v>
      </c>
      <c r="K6" s="8" t="n">
        <v>7.49</v>
      </c>
      <c r="L6" s="6" t="n">
        <f aca="false">K6*J6</f>
        <v>7.49</v>
      </c>
    </row>
    <row r="7" customFormat="false" ht="12.8" hidden="false" customHeight="false" outlineLevel="0" collapsed="false">
      <c r="A7" s="7" t="s">
        <v>17</v>
      </c>
      <c r="B7" s="9" t="s">
        <v>18</v>
      </c>
      <c r="C7" s="7" t="n">
        <v>1</v>
      </c>
      <c r="D7" s="8" t="n">
        <v>61.99</v>
      </c>
      <c r="E7" s="6" t="n">
        <f aca="false">D7*C7</f>
        <v>61.99</v>
      </c>
      <c r="H7" s="7" t="s">
        <v>17</v>
      </c>
      <c r="I7" s="7" t="s">
        <v>18</v>
      </c>
      <c r="J7" s="7" t="n">
        <v>1</v>
      </c>
      <c r="K7" s="8" t="n">
        <v>61.99</v>
      </c>
      <c r="L7" s="6" t="n">
        <f aca="false">K7*J7</f>
        <v>61.99</v>
      </c>
    </row>
    <row r="8" customFormat="false" ht="12.8" hidden="false" customHeight="false" outlineLevel="0" collapsed="false">
      <c r="A8" s="7" t="s">
        <v>19</v>
      </c>
      <c r="B8" s="9" t="s">
        <v>3</v>
      </c>
      <c r="C8" s="7" t="n">
        <v>1</v>
      </c>
      <c r="D8" s="6" t="n">
        <v>95.99</v>
      </c>
      <c r="E8" s="6" t="n">
        <f aca="false">D8*C8</f>
        <v>95.99</v>
      </c>
      <c r="H8" s="7" t="s">
        <v>19</v>
      </c>
      <c r="I8" s="10" t="s">
        <v>3</v>
      </c>
      <c r="J8" s="7" t="n">
        <v>1</v>
      </c>
      <c r="K8" s="6" t="n">
        <v>95.99</v>
      </c>
      <c r="L8" s="6" t="n">
        <f aca="false">K8*J8</f>
        <v>95.99</v>
      </c>
    </row>
    <row r="9" customFormat="false" ht="12.8" hidden="false" customHeight="false" outlineLevel="0" collapsed="false">
      <c r="A9" s="7" t="s">
        <v>20</v>
      </c>
      <c r="B9" s="7"/>
      <c r="C9" s="7"/>
      <c r="D9" s="7"/>
      <c r="E9" s="6" t="n">
        <f aca="false">D9*C9</f>
        <v>0</v>
      </c>
      <c r="H9" s="7"/>
      <c r="I9" s="7"/>
      <c r="J9" s="7"/>
      <c r="K9" s="7"/>
      <c r="L9" s="6" t="n">
        <f aca="false">K9*J9</f>
        <v>0</v>
      </c>
    </row>
    <row r="10" customFormat="false" ht="12.8" hidden="false" customHeight="true" outlineLevel="0" collapsed="false">
      <c r="A10" s="11" t="s">
        <v>21</v>
      </c>
      <c r="B10" s="11"/>
      <c r="C10" s="11"/>
      <c r="D10" s="11"/>
      <c r="E10" s="12" t="n">
        <f aca="false">SUM(E3:E9)</f>
        <v>1551.79</v>
      </c>
      <c r="H10" s="11" t="s">
        <v>21</v>
      </c>
      <c r="I10" s="11"/>
      <c r="J10" s="11"/>
      <c r="K10" s="11"/>
      <c r="L10" s="12" t="n">
        <f aca="false">SUM(L3:L9)</f>
        <v>1807.39</v>
      </c>
    </row>
  </sheetData>
  <mergeCells count="4">
    <mergeCell ref="A1:E1"/>
    <mergeCell ref="H1:L1"/>
    <mergeCell ref="A10:D10"/>
    <mergeCell ref="H10:K10"/>
  </mergeCells>
  <hyperlinks>
    <hyperlink ref="B3" r:id="rId1" display="https://aerotech-rocketry.com/products/product_96c84178-7470-3797-6f21-a32b59d4b4bf"/>
    <hyperlink ref="I3" r:id="rId2" display="https://aerotech-rocketry.com/products/product_a42ad3c8-186f-07ae-7be9-14118783892f"/>
    <hyperlink ref="B4" r:id="rId3" display="https://wildmanrocketry.com/products/g12-6-0"/>
    <hyperlink ref="I4" r:id="rId4" display="https://wildmanrocketry.com/products/g12-6-0"/>
    <hyperlink ref="B5" r:id="rId5" display="https://shop.fruitychutes.com/products/iris-ultra-84-standard-parachute-39lbs-20fps"/>
    <hyperlink ref="I5" r:id="rId6" display="https://shop.fruitychutes.com/products/iris-ultra-84-standard-parachute-39lbs-20fps"/>
    <hyperlink ref="B6" r:id="rId7" display="https://www.apogeerockets.com/Building_Supplies/Launch_Lugs_Rail_Buttons/Rail_Buttons/1-5_Rail_Button_Large"/>
    <hyperlink ref="I6" r:id="rId8" display="https://www.apogeerockets.com/Building_Supplies/Launch_Lugs_Rail_Buttons/Rail_Buttons/1-5_Rail_Button_Large"/>
    <hyperlink ref="B7" r:id="rId9" display="https://us-wholesale.polymaker.com/products/polymaker-petg?variant=40933875286118"/>
    <hyperlink ref="B8" r:id="rId10" display="Link"/>
    <hyperlink ref="I8" r:id="rId11" display="Link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&amp;C&amp;12&amp;A</oddHeader>
    <oddFooter>&amp;C&amp;12Page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2.675781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&amp;C&amp;12&amp;A</oddHeader>
    <oddFooter>&amp;C&amp;12Page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2.675781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&amp;C&amp;12&amp;A</oddHeader>
    <oddFooter>&amp;C&amp;12Page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75781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&amp;C&amp;12&amp;A</oddHeader>
    <oddFooter>&amp;C&amp;12Page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2.675781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&amp;C&amp;12&amp;A</oddHeader>
    <oddFooter>&amp;C&amp;12Page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Collabora_Office/25.04.9.1$Linux_X86_64 LibreOffice_project/d866e5900658bca90b07a7f333178392f8ac7e56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2026-07-25T00:36:00Z</dcterms:created>
  <dc:creator/>
  <dc:description/>
  <dc:language>en-US</dc:language>
  <cp:lastModifiedBy/>
  <dcterms:modified xsi:type="dcterms:W3CDTF">2026-07-25T00:36:00Z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