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kyles\Documents\Github\ARES\"/>
    </mc:Choice>
  </mc:AlternateContent>
  <xr:revisionPtr revIDLastSave="0" documentId="13_ncr:1_{284285DE-72C2-48F8-9F48-1F0429961E7D}" xr6:coauthVersionLast="47" xr6:coauthVersionMax="47" xr10:uidLastSave="{00000000-0000-0000-0000-000000000000}"/>
  <bookViews>
    <workbookView xWindow="-98" yWindow="-98" windowWidth="23236" windowHeight="14595" tabRatio="500" activeTab="1" xr2:uid="{00000000-000D-0000-FFFF-FFFF00000000}"/>
  </bookViews>
  <sheets>
    <sheet name="ARES" sheetId="1" r:id="rId1"/>
    <sheet name="PHOBOS" sheetId="2" r:id="rId2"/>
    <sheet name="DEIMOS" sheetId="3" r:id="rId3"/>
    <sheet name="GND Station" sheetId="4" r:id="rId4"/>
    <sheet name="MISC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Q3" i="2" l="1"/>
  <c r="P3" i="2"/>
  <c r="H3" i="2"/>
  <c r="G3" i="2"/>
  <c r="E10" i="1"/>
  <c r="L9" i="1"/>
  <c r="L10" i="1" s="1"/>
  <c r="E9" i="1"/>
  <c r="L8" i="1"/>
  <c r="E8" i="1"/>
  <c r="L7" i="1"/>
  <c r="E7" i="1"/>
  <c r="L6" i="1"/>
  <c r="E6" i="1"/>
</calcChain>
</file>

<file path=xl/sharedStrings.xml><?xml version="1.0" encoding="utf-8"?>
<sst xmlns="http://schemas.openxmlformats.org/spreadsheetml/2006/main" count="58" uniqueCount="31">
  <si>
    <t>ARES – L2</t>
  </si>
  <si>
    <t>ARES – L3</t>
  </si>
  <si>
    <t>Part</t>
  </si>
  <si>
    <t>Link</t>
  </si>
  <si>
    <t>QTY</t>
  </si>
  <si>
    <t>Price</t>
  </si>
  <si>
    <t>Subtotal</t>
  </si>
  <si>
    <t>AeroTech L2200G-PS RMS-75/5120 Reload Kit (1 Pack) – 12220P</t>
  </si>
  <si>
    <t>https://aerotech-rocketry.com/products/product_96c84178-7470-3797-6f21-a32b59d4b4bf</t>
  </si>
  <si>
    <t>Aerotech High-Power M1350W-P 75mm DMS HAZMAT</t>
  </si>
  <si>
    <t>https://aerotech-rocketry.com/products/product_a42ad3c8-186f-07ae-7be9-14118783892f</t>
  </si>
  <si>
    <t>G12-6.0 60"</t>
  </si>
  <si>
    <t>https://wildmanrocketry.com/products/g12-6-0</t>
  </si>
  <si>
    <t>84" Fruity Chutes: Iris Ultra Parachute</t>
  </si>
  <si>
    <t>https://shop.fruitychutes.com/products/iris-ultra-84-standard-parachute-39lbs-20fps</t>
  </si>
  <si>
    <t>Rail Buttons</t>
  </si>
  <si>
    <t>https://www.apogeerockets.com/Building_Supplies/Launch_Lugs_Rail_Buttons/Rail_Buttons/1-5_Rail_Button_Large</t>
  </si>
  <si>
    <t xml:space="preserve">Polymaker™ PETG </t>
  </si>
  <si>
    <t>https://us-wholesale.polymaker.com/products/polymaker-petg?variant=40933875286118</t>
  </si>
  <si>
    <t>Kevlar Cord, 500-1500lb</t>
  </si>
  <si>
    <t>Fiberglass Sheets</t>
  </si>
  <si>
    <t>Total</t>
  </si>
  <si>
    <t>MFG #</t>
  </si>
  <si>
    <t>#</t>
  </si>
  <si>
    <t>Ideal QTY</t>
  </si>
  <si>
    <t>Spare QTY</t>
  </si>
  <si>
    <t>Ideal Cost</t>
  </si>
  <si>
    <t>Spare Cost</t>
  </si>
  <si>
    <t>SMA Cable (24")</t>
  </si>
  <si>
    <t>PAA</t>
  </si>
  <si>
    <t>COMET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</si>
</sst>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4" formatCode="_(&quot;$&quot;* #,##0.00_);_(&quot;$&quot;* \(#,##0.00\);_(&quot;$&quot;* &quot;-&quot;??_);_(@_)"/>
    <numFmt numFmtId="164" formatCode="[$$-409]#,##0.00;[Red]\-[$$-409]#,##0.00"/>
  </numFmts>
  <fonts count="7" x14ac:knownFonts="1">
    <font>
      <sz val="10"/>
      <name val="Calibri"/>
      <family val="2"/>
    </font>
    <font>
      <sz val="10"/>
      <name val="Arial"/>
    </font>
    <font>
      <b/>
      <sz val="14"/>
      <name val="Calibri"/>
      <family val="2"/>
    </font>
    <font>
      <b/>
      <sz val="16"/>
      <name val="Calibri"/>
      <family val="2"/>
    </font>
    <font>
      <b/>
      <sz val="10"/>
      <name val="Calibri"/>
      <family val="1"/>
    </font>
    <font>
      <sz val="10"/>
      <name val="Calibri"/>
      <family val="1"/>
    </font>
    <font>
      <sz val="10"/>
      <color rgb="FF0000FF"/>
      <name val="Calibri"/>
      <family val="1"/>
    </font>
  </fonts>
  <fills count="6">
    <fill>
      <patternFill patternType="none"/>
    </fill>
    <fill>
      <patternFill patternType="gray125"/>
    </fill>
    <fill>
      <patternFill patternType="solid">
        <fgColor rgb="FF808080"/>
        <bgColor rgb="FF969696"/>
      </patternFill>
    </fill>
    <fill>
      <patternFill patternType="solid">
        <fgColor rgb="FFFFFF00"/>
        <bgColor rgb="FFFFFF00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Border="0" applyAlignment="0" applyProtection="0"/>
  </cellStyleXfs>
  <cellXfs count="16">
    <xf numFmtId="0" fontId="0" fillId="0" borderId="0" xfId="0"/>
    <xf numFmtId="0" fontId="5" fillId="3" borderId="0" xfId="0" applyFont="1" applyFill="1" applyAlignment="1">
      <alignment wrapText="1"/>
    </xf>
    <xf numFmtId="0" fontId="3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wrapText="1"/>
    </xf>
    <xf numFmtId="0" fontId="5" fillId="0" borderId="0" xfId="0" applyFont="1" applyAlignment="1">
      <alignment wrapText="1"/>
    </xf>
    <xf numFmtId="0" fontId="6" fillId="0" borderId="0" xfId="0" applyFont="1" applyAlignment="1">
      <alignment wrapText="1"/>
    </xf>
    <xf numFmtId="164" fontId="5" fillId="0" borderId="0" xfId="0" applyNumberFormat="1" applyFont="1" applyAlignment="1">
      <alignment wrapText="1"/>
    </xf>
    <xf numFmtId="0" fontId="5" fillId="0" borderId="0" xfId="0" applyFont="1"/>
    <xf numFmtId="164" fontId="5" fillId="0" borderId="0" xfId="0" applyNumberFormat="1" applyFont="1"/>
    <xf numFmtId="0" fontId="6" fillId="0" borderId="0" xfId="0" applyFont="1"/>
    <xf numFmtId="0" fontId="6" fillId="0" borderId="0" xfId="0" applyFont="1" applyAlignment="1">
      <alignment horizontal="left"/>
    </xf>
    <xf numFmtId="164" fontId="5" fillId="3" borderId="0" xfId="0" applyNumberFormat="1" applyFont="1" applyFill="1" applyAlignment="1">
      <alignment horizontal="right" wrapText="1"/>
    </xf>
    <xf numFmtId="44" fontId="1" fillId="0" borderId="0" xfId="1"/>
    <xf numFmtId="0" fontId="0" fillId="4" borderId="0" xfId="0" applyFill="1" applyAlignment="1">
      <alignment horizontal="center"/>
    </xf>
    <xf numFmtId="0" fontId="0" fillId="5" borderId="0" xfId="0" applyFill="1"/>
  </cellXfs>
  <cellStyles count="2">
    <cellStyle name="Currency" xfId="1" builtinId="4"/>
    <cellStyle name="Normal" xfId="0" builtinId="0"/>
  </cellStyles>
  <dxfs count="0"/>
  <tableStyles count="1" defaultTableStyle="TableStyleMedium2" defaultPivotStyle="PivotStyleLight16">
    <tableStyle name="Invisible" pivot="0" table="0" count="0" xr9:uid="{37CBF558-F8F9-4B94-868D-F42DE0B3D2B5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pogeerockets.com/Building_Supplies/Launch_Lugs_Rail_Buttons/Rail_Buttons/1-5_Rail_Button_Large" TargetMode="External"/><Relationship Id="rId3" Type="http://schemas.openxmlformats.org/officeDocument/2006/relationships/hyperlink" Target="https://wildmanrocketry.com/products/g12-6-0" TargetMode="External"/><Relationship Id="rId7" Type="http://schemas.openxmlformats.org/officeDocument/2006/relationships/hyperlink" Target="https://www.apogeerockets.com/Building_Supplies/Launch_Lugs_Rail_Buttons/Rail_Buttons/1-5_Rail_Button_Large" TargetMode="External"/><Relationship Id="rId2" Type="http://schemas.openxmlformats.org/officeDocument/2006/relationships/hyperlink" Target="https://aerotech-rocketry.com/products/product_a42ad3c8-186f-07ae-7be9-14118783892f" TargetMode="External"/><Relationship Id="rId1" Type="http://schemas.openxmlformats.org/officeDocument/2006/relationships/hyperlink" Target="https://aerotech-rocketry.com/products/product_96c84178-7470-3797-6f21-a32b59d4b4bf" TargetMode="External"/><Relationship Id="rId6" Type="http://schemas.openxmlformats.org/officeDocument/2006/relationships/hyperlink" Target="https://shop.fruitychutes.com/products/iris-ultra-84-standard-parachute-39lbs-20fps" TargetMode="External"/><Relationship Id="rId11" Type="http://schemas.openxmlformats.org/officeDocument/2006/relationships/hyperlink" Target="https://www.amazon.com/9KM-DWLIFE-Resistant-Ultralight-Activities/dp/B084ZYGTYP?th=1" TargetMode="External"/><Relationship Id="rId5" Type="http://schemas.openxmlformats.org/officeDocument/2006/relationships/hyperlink" Target="https://shop.fruitychutes.com/products/iris-ultra-84-standard-parachute-39lbs-20fps" TargetMode="External"/><Relationship Id="rId10" Type="http://schemas.openxmlformats.org/officeDocument/2006/relationships/hyperlink" Target="https://www.amazon.com/9KM-DWLIFE-Resistant-Ultralight-Activities/dp/B084ZYGTYP?th=1" TargetMode="External"/><Relationship Id="rId4" Type="http://schemas.openxmlformats.org/officeDocument/2006/relationships/hyperlink" Target="https://wildmanrocketry.com/products/g12-6-0" TargetMode="External"/><Relationship Id="rId9" Type="http://schemas.openxmlformats.org/officeDocument/2006/relationships/hyperlink" Target="https://us-wholesale.polymaker.com/products/polymaker-petg?variant=4093387528611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0"/>
  <sheetViews>
    <sheetView zoomScaleNormal="100" workbookViewId="0">
      <selection activeCell="F3" sqref="F3"/>
    </sheetView>
  </sheetViews>
  <sheetFormatPr defaultColWidth="12.640625" defaultRowHeight="13.15" x14ac:dyDescent="0.4"/>
  <cols>
    <col min="1" max="1" width="20.2109375" customWidth="1"/>
    <col min="8" max="8" width="21.7109375" customWidth="1"/>
  </cols>
  <sheetData>
    <row r="1" spans="1:12" ht="21" x14ac:dyDescent="0.4">
      <c r="A1" s="3" t="s">
        <v>0</v>
      </c>
      <c r="B1" s="3"/>
      <c r="C1" s="3"/>
      <c r="D1" s="3"/>
      <c r="E1" s="3"/>
      <c r="H1" s="2" t="s">
        <v>1</v>
      </c>
      <c r="I1" s="2"/>
      <c r="J1" s="2"/>
      <c r="K1" s="2"/>
      <c r="L1" s="2"/>
    </row>
    <row r="2" spans="1:12" x14ac:dyDescent="0.4">
      <c r="A2" s="4" t="s">
        <v>2</v>
      </c>
      <c r="B2" s="4" t="s">
        <v>3</v>
      </c>
      <c r="C2" s="4" t="s">
        <v>4</v>
      </c>
      <c r="D2" s="4" t="s">
        <v>5</v>
      </c>
      <c r="E2" s="4" t="s">
        <v>6</v>
      </c>
      <c r="H2" s="4" t="s">
        <v>2</v>
      </c>
      <c r="I2" s="4" t="s">
        <v>3</v>
      </c>
      <c r="J2" s="4" t="s">
        <v>4</v>
      </c>
      <c r="K2" s="4" t="s">
        <v>5</v>
      </c>
      <c r="L2" s="4" t="s">
        <v>6</v>
      </c>
    </row>
    <row r="3" spans="1:12" ht="105" x14ac:dyDescent="0.4">
      <c r="A3" s="5" t="s">
        <v>7</v>
      </c>
      <c r="B3" s="6" t="s">
        <v>8</v>
      </c>
      <c r="C3" s="5">
        <v>1</v>
      </c>
      <c r="D3" s="7">
        <v>422.99</v>
      </c>
      <c r="E3" s="7">
        <v>422.99</v>
      </c>
      <c r="H3" s="5" t="s">
        <v>9</v>
      </c>
      <c r="I3" s="6" t="s">
        <v>10</v>
      </c>
      <c r="J3" s="5">
        <v>1</v>
      </c>
      <c r="K3" s="7">
        <v>678.59</v>
      </c>
      <c r="L3" s="7">
        <v>678.59</v>
      </c>
    </row>
    <row r="4" spans="1:12" ht="52.5" x14ac:dyDescent="0.4">
      <c r="A4" s="5" t="s">
        <v>11</v>
      </c>
      <c r="B4" s="6" t="s">
        <v>12</v>
      </c>
      <c r="C4" s="5">
        <v>2</v>
      </c>
      <c r="D4" s="5">
        <v>279.81</v>
      </c>
      <c r="E4" s="7">
        <v>559.62</v>
      </c>
      <c r="H4" s="5" t="s">
        <v>11</v>
      </c>
      <c r="I4" s="6" t="s">
        <v>12</v>
      </c>
      <c r="J4" s="5">
        <v>2</v>
      </c>
      <c r="K4" s="7">
        <v>279.81</v>
      </c>
      <c r="L4" s="7">
        <v>559.62</v>
      </c>
    </row>
    <row r="5" spans="1:12" ht="91.9" x14ac:dyDescent="0.4">
      <c r="A5" s="5" t="s">
        <v>13</v>
      </c>
      <c r="B5" s="6" t="s">
        <v>14</v>
      </c>
      <c r="C5" s="5">
        <v>1</v>
      </c>
      <c r="D5" s="5">
        <v>403.71</v>
      </c>
      <c r="E5" s="7">
        <v>403.71</v>
      </c>
      <c r="H5" s="5" t="s">
        <v>13</v>
      </c>
      <c r="I5" s="6" t="s">
        <v>14</v>
      </c>
      <c r="J5" s="5">
        <v>1</v>
      </c>
      <c r="K5" s="5">
        <v>403.71</v>
      </c>
      <c r="L5" s="7">
        <v>403.71</v>
      </c>
    </row>
    <row r="6" spans="1:12" ht="118.15" x14ac:dyDescent="0.4">
      <c r="A6" s="5" t="s">
        <v>15</v>
      </c>
      <c r="B6" s="6" t="s">
        <v>16</v>
      </c>
      <c r="C6" s="8">
        <v>1</v>
      </c>
      <c r="D6" s="9">
        <v>7.49</v>
      </c>
      <c r="E6" s="7">
        <f>D6*C6</f>
        <v>7.49</v>
      </c>
      <c r="H6" s="5" t="s">
        <v>15</v>
      </c>
      <c r="I6" s="6" t="s">
        <v>16</v>
      </c>
      <c r="J6" s="8">
        <v>1</v>
      </c>
      <c r="K6" s="9">
        <v>7.49</v>
      </c>
      <c r="L6" s="7">
        <f>K6*J6</f>
        <v>7.49</v>
      </c>
    </row>
    <row r="7" spans="1:12" x14ac:dyDescent="0.4">
      <c r="A7" s="8" t="s">
        <v>17</v>
      </c>
      <c r="B7" s="10" t="s">
        <v>18</v>
      </c>
      <c r="C7" s="8">
        <v>1</v>
      </c>
      <c r="D7" s="9">
        <v>61.99</v>
      </c>
      <c r="E7" s="7">
        <f>D7*C7</f>
        <v>61.99</v>
      </c>
      <c r="H7" s="8" t="s">
        <v>17</v>
      </c>
      <c r="I7" s="8" t="s">
        <v>18</v>
      </c>
      <c r="J7" s="8">
        <v>1</v>
      </c>
      <c r="K7" s="9">
        <v>61.99</v>
      </c>
      <c r="L7" s="7">
        <f>K7*J7</f>
        <v>61.99</v>
      </c>
    </row>
    <row r="8" spans="1:12" x14ac:dyDescent="0.4">
      <c r="A8" s="8" t="s">
        <v>19</v>
      </c>
      <c r="B8" s="10" t="s">
        <v>3</v>
      </c>
      <c r="C8" s="8">
        <v>1</v>
      </c>
      <c r="D8" s="7">
        <v>95.99</v>
      </c>
      <c r="E8" s="7">
        <f>D8*C8</f>
        <v>95.99</v>
      </c>
      <c r="H8" s="8" t="s">
        <v>19</v>
      </c>
      <c r="I8" s="11" t="s">
        <v>3</v>
      </c>
      <c r="J8" s="8">
        <v>1</v>
      </c>
      <c r="K8" s="7">
        <v>95.99</v>
      </c>
      <c r="L8" s="7">
        <f>K8*J8</f>
        <v>95.99</v>
      </c>
    </row>
    <row r="9" spans="1:12" x14ac:dyDescent="0.4">
      <c r="A9" s="8" t="s">
        <v>20</v>
      </c>
      <c r="B9" s="8"/>
      <c r="C9" s="8"/>
      <c r="D9" s="8"/>
      <c r="E9" s="7">
        <f>D9*C9</f>
        <v>0</v>
      </c>
      <c r="H9" s="8"/>
      <c r="I9" s="8"/>
      <c r="J9" s="8"/>
      <c r="K9" s="8"/>
      <c r="L9" s="7">
        <f>K9*J9</f>
        <v>0</v>
      </c>
    </row>
    <row r="10" spans="1:12" ht="12.85" customHeight="1" x14ac:dyDescent="0.4">
      <c r="A10" s="1" t="s">
        <v>21</v>
      </c>
      <c r="B10" s="1"/>
      <c r="C10" s="1"/>
      <c r="D10" s="1"/>
      <c r="E10" s="12">
        <f>SUM(E3:E9)</f>
        <v>1551.79</v>
      </c>
      <c r="H10" s="1" t="s">
        <v>21</v>
      </c>
      <c r="I10" s="1"/>
      <c r="J10" s="1"/>
      <c r="K10" s="1"/>
      <c r="L10" s="12">
        <f>SUM(L3:L9)</f>
        <v>1807.39</v>
      </c>
    </row>
  </sheetData>
  <mergeCells count="4">
    <mergeCell ref="A1:E1"/>
    <mergeCell ref="H1:L1"/>
    <mergeCell ref="A10:D10"/>
    <mergeCell ref="H10:K10"/>
  </mergeCells>
  <hyperlinks>
    <hyperlink ref="B3" r:id="rId1" xr:uid="{00000000-0004-0000-0000-000000000000}"/>
    <hyperlink ref="I3" r:id="rId2" xr:uid="{00000000-0004-0000-0000-000001000000}"/>
    <hyperlink ref="B4" r:id="rId3" xr:uid="{00000000-0004-0000-0000-000002000000}"/>
    <hyperlink ref="I4" r:id="rId4" xr:uid="{00000000-0004-0000-0000-000003000000}"/>
    <hyperlink ref="B5" r:id="rId5" xr:uid="{00000000-0004-0000-0000-000004000000}"/>
    <hyperlink ref="I5" r:id="rId6" xr:uid="{00000000-0004-0000-0000-000005000000}"/>
    <hyperlink ref="B6" r:id="rId7" xr:uid="{00000000-0004-0000-0000-000006000000}"/>
    <hyperlink ref="I6" r:id="rId8" xr:uid="{00000000-0004-0000-0000-000007000000}"/>
    <hyperlink ref="B7" r:id="rId9" xr:uid="{00000000-0004-0000-0000-000008000000}"/>
    <hyperlink ref="B8" r:id="rId10" xr:uid="{00000000-0004-0000-0000-000009000000}"/>
    <hyperlink ref="I8" r:id="rId11" xr:uid="{00000000-0004-0000-0000-00000A000000}"/>
  </hyperlinks>
  <pageMargins left="0.78749999999999998" right="0.78749999999999998" top="1.05277777777778" bottom="1.05277777777778" header="0.78749999999999998" footer="0.78749999999999998"/>
  <pageSetup orientation="portrait" useFirstPageNumber="1" horizontalDpi="300" verticalDpi="300"/>
  <headerFooter>
    <oddHeader>&amp;C&amp;12&amp;A</oddHeader>
    <oddFooter>&amp;C&amp;12Page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4"/>
  <sheetViews>
    <sheetView tabSelected="1" zoomScaleNormal="100" zoomScalePageLayoutView="60" workbookViewId="0">
      <selection activeCell="I5" sqref="I5"/>
    </sheetView>
  </sheetViews>
  <sheetFormatPr defaultColWidth="12.640625" defaultRowHeight="13.15" x14ac:dyDescent="0.4"/>
  <cols>
    <col min="6" max="6" width="12.640625" style="13"/>
  </cols>
  <sheetData>
    <row r="1" spans="1:17" x14ac:dyDescent="0.4">
      <c r="A1" s="14" t="s">
        <v>29</v>
      </c>
      <c r="B1" s="14"/>
      <c r="C1" s="14"/>
      <c r="D1" s="14"/>
      <c r="E1" s="14"/>
      <c r="F1" s="14"/>
      <c r="G1" s="14"/>
      <c r="H1" s="14"/>
      <c r="I1" s="15"/>
      <c r="J1" s="14" t="s">
        <v>30</v>
      </c>
      <c r="K1" s="14"/>
      <c r="L1" s="14"/>
      <c r="M1" s="14"/>
      <c r="N1" s="14"/>
      <c r="O1" s="14"/>
      <c r="P1" s="14"/>
      <c r="Q1" s="14"/>
    </row>
    <row r="2" spans="1:17" x14ac:dyDescent="0.4">
      <c r="A2" t="s">
        <v>23</v>
      </c>
      <c r="B2" t="s">
        <v>2</v>
      </c>
      <c r="C2" t="s">
        <v>22</v>
      </c>
      <c r="D2" t="s">
        <v>24</v>
      </c>
      <c r="E2" t="s">
        <v>25</v>
      </c>
      <c r="F2" s="13" t="s">
        <v>5</v>
      </c>
      <c r="G2" t="s">
        <v>26</v>
      </c>
      <c r="H2" t="s">
        <v>27</v>
      </c>
      <c r="J2" t="s">
        <v>23</v>
      </c>
      <c r="K2" t="s">
        <v>2</v>
      </c>
      <c r="L2" t="s">
        <v>22</v>
      </c>
      <c r="M2" t="s">
        <v>24</v>
      </c>
      <c r="N2" t="s">
        <v>25</v>
      </c>
      <c r="O2" s="13" t="s">
        <v>5</v>
      </c>
      <c r="P2" t="s">
        <v>26</v>
      </c>
      <c r="Q2" t="s">
        <v>27</v>
      </c>
    </row>
    <row r="3" spans="1:17" x14ac:dyDescent="0.4">
      <c r="A3">
        <v>1</v>
      </c>
      <c r="B3" t="s">
        <v>28</v>
      </c>
      <c r="D3">
        <v>10</v>
      </c>
      <c r="F3" s="13">
        <v>13</v>
      </c>
      <c r="G3">
        <f>D3*F3</f>
        <v>130</v>
      </c>
      <c r="H3">
        <f>F3*E3</f>
        <v>0</v>
      </c>
      <c r="J3">
        <v>1</v>
      </c>
      <c r="M3">
        <v>10</v>
      </c>
      <c r="O3" s="13">
        <v>13</v>
      </c>
      <c r="P3">
        <f>M3*O3</f>
        <v>130</v>
      </c>
      <c r="Q3">
        <f>O3*N3</f>
        <v>0</v>
      </c>
    </row>
    <row r="4" spans="1:17" x14ac:dyDescent="0.4">
      <c r="A4">
        <v>2</v>
      </c>
      <c r="J4">
        <v>2</v>
      </c>
      <c r="O4" s="13"/>
    </row>
  </sheetData>
  <mergeCells count="2">
    <mergeCell ref="A1:H1"/>
    <mergeCell ref="J1:Q1"/>
  </mergeCell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&amp;C&amp;12&amp;A</oddHeader>
    <oddFooter>&amp;C&amp;12Page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zoomScaleNormal="100" zoomScalePageLayoutView="60" workbookViewId="0"/>
  </sheetViews>
  <sheetFormatPr defaultColWidth="12.640625" defaultRowHeight="13.15" x14ac:dyDescent="0.4"/>
  <sheetData/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&amp;C&amp;12&amp;A</oddHeader>
    <oddFooter>&amp;C&amp;12Page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zoomScaleNormal="100" workbookViewId="0"/>
  </sheetViews>
  <sheetFormatPr defaultColWidth="12.640625" defaultRowHeight="13.15" x14ac:dyDescent="0.4"/>
  <sheetData/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&amp;C&amp;12&amp;A</oddHeader>
    <oddFooter>&amp;C&amp;12Page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zoomScaleNormal="100" zoomScalePageLayoutView="60" workbookViewId="0"/>
  </sheetViews>
  <sheetFormatPr defaultColWidth="12.640625" defaultRowHeight="13.15" x14ac:dyDescent="0.4"/>
  <sheetData/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&amp;C&amp;12&amp;A</oddHeader>
    <oddFooter>&amp;C&amp;12Page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ARES</vt:lpstr>
      <vt:lpstr>PHOBOS</vt:lpstr>
      <vt:lpstr>DEIMOS</vt:lpstr>
      <vt:lpstr>GND Station</vt:lpstr>
      <vt:lpstr>MISC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Eckert, Kyle</cp:lastModifiedBy>
  <cp:revision>1</cp:revision>
  <dcterms:created xsi:type="dcterms:W3CDTF">2026-07-25T00:36:00Z</dcterms:created>
  <dcterms:modified xsi:type="dcterms:W3CDTF">2026-08-17T04:04:41Z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rogId">
    <vt:lpwstr>Excel.Sheet</vt:lpwstr>
  </property>
</Properties>
</file>